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chokkaku\Downloads\"/>
    </mc:Choice>
  </mc:AlternateContent>
  <xr:revisionPtr revIDLastSave="0" documentId="13_ncr:1_{76789394-7646-419B-A4C1-20FFDDA48AA5}" xr6:coauthVersionLast="47" xr6:coauthVersionMax="47" xr10:uidLastSave="{00000000-0000-0000-0000-000000000000}"/>
  <bookViews>
    <workbookView xWindow="-165" yWindow="-165" windowWidth="51930" windowHeight="21210" tabRatio="500" activeTab="2" xr2:uid="{00000000-000D-0000-FFFF-FFFF00000000}"/>
  </bookViews>
  <sheets>
    <sheet name="Ticket Categorization" sheetId="1" r:id="rId1"/>
    <sheet name="Summary" sheetId="2" r:id="rId2"/>
    <sheet name="Other Items" sheetId="3" r:id="rId3"/>
  </sheets>
  <definedNames>
    <definedName name="_xlnm._FilterDatabase" localSheetId="0" hidden="1">'Ticket Categorization'!$A$1:$D$12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2" l="1"/>
  <c r="C5" i="2"/>
  <c r="B5" i="2"/>
  <c r="D4" i="2"/>
  <c r="C4" i="2"/>
  <c r="B4" i="2"/>
  <c r="D3" i="2"/>
  <c r="C3" i="2"/>
  <c r="B3" i="2"/>
  <c r="D2" i="2"/>
  <c r="C2" i="2"/>
  <c r="B2" i="2"/>
</calcChain>
</file>

<file path=xl/sharedStrings.xml><?xml version="1.0" encoding="utf-8"?>
<sst xmlns="http://schemas.openxmlformats.org/spreadsheetml/2006/main" count="94" uniqueCount="65">
  <si>
    <t>Ticket</t>
  </si>
  <si>
    <t>Title</t>
  </si>
  <si>
    <t>Category</t>
  </si>
  <si>
    <t>Status</t>
  </si>
  <si>
    <t>EDA-31697</t>
  </si>
  <si>
    <t>AI for Consumer Product Retail Analytics</t>
  </si>
  <si>
    <t>Analytics/Feature Request</t>
  </si>
  <si>
    <t>Open</t>
  </si>
  <si>
    <t>EDA-31677</t>
  </si>
  <si>
    <t>Snowflake Connectivity thru VPN and Private URL</t>
  </si>
  <si>
    <t>AWS / Network</t>
  </si>
  <si>
    <t>EDA-31502</t>
  </si>
  <si>
    <t>GitHub/Snowflake Integration</t>
  </si>
  <si>
    <t>CI/CD Setup</t>
  </si>
  <si>
    <t>EDA-31465</t>
  </si>
  <si>
    <t>PNC: Could you please ACRE folder in the Dev S3 bucket</t>
  </si>
  <si>
    <t>AWS</t>
  </si>
  <si>
    <t>Closed</t>
  </si>
  <si>
    <t>EDA-31357</t>
  </si>
  <si>
    <t>POSIT Workbench installation and access model</t>
  </si>
  <si>
    <t>Snowflake Provisioning / Access-RBAC</t>
  </si>
  <si>
    <t>EDA-31351</t>
  </si>
  <si>
    <t>Create DOFRI GitHub repository under wcet-enterprise-tech org</t>
  </si>
  <si>
    <t>EDA-31329</t>
  </si>
  <si>
    <t>Need a XL warehouse for CDM modelling POC for TECH_DW_DB.TLC* schemas</t>
  </si>
  <si>
    <t>Snowflake Provisioning</t>
  </si>
  <si>
    <t>EDA-31300</t>
  </si>
  <si>
    <t>Enable Hyderabad Intranet Access for DOFRI Snowflake Environments (Prod &amp; Dev)</t>
  </si>
  <si>
    <t>EDA-31184</t>
  </si>
  <si>
    <t>Datashare from Dofri prod to Dofri non-prod</t>
  </si>
  <si>
    <t>EDA-31092</t>
  </si>
  <si>
    <t>Asset Intelligence platform - DE and Analytics roles and Schemas</t>
  </si>
  <si>
    <t>EDA-31067</t>
  </si>
  <si>
    <t>Ontology Role creation in EDLE Dev account</t>
  </si>
  <si>
    <t>Count</t>
  </si>
  <si>
    <t>Section</t>
  </si>
  <si>
    <t>Details</t>
  </si>
  <si>
    <t>Internal Validation</t>
  </si>
  <si>
    <t>Data Product Validation</t>
  </si>
  <si>
    <t>LINEAR-ADSALES cross-checked, 18 SQLs, PROD gaps documented</t>
  </si>
  <si>
    <t>Alert Notification</t>
  </si>
  <si>
    <t>Forecast Trend</t>
  </si>
  <si>
    <t>Month-end projection working, z-score + WoW drift active</t>
  </si>
  <si>
    <t>Recommendations</t>
  </si>
  <si>
    <t>Pending</t>
  </si>
  <si>
    <t>Switch recipients to owners, EXECUTE ALERT grant, PROD gaps</t>
  </si>
  <si>
    <t>Performance</t>
  </si>
  <si>
    <t>In Progress</t>
  </si>
  <si>
    <t>Cache working, Pipeline tab latency under review</t>
  </si>
  <si>
    <t>Metrics Observability &amp; AI Usage</t>
  </si>
  <si>
    <t>EDL Product Observability — Status Summary</t>
  </si>
  <si>
    <t>Alert framework: hard thresholds (1.5x/2x/3x credits, 10/15/25% failure rate) + z-score anomaly detection (&gt;2 std dev) + forecast alerts (&gt;20% month-end projection variance). Alerts currently routed to owner inbox for validation.</t>
  </si>
  <si>
    <t>EDL_Platform_Observability — Snowflake</t>
  </si>
  <si>
    <t>Done</t>
  </si>
  <si>
    <t>Emails for alerts received; Task DAG running</t>
  </si>
  <si>
    <t>AI Monitoring Dashboard</t>
  </si>
  <si>
    <t>All 6 tabs verified — gauges, pipeline, compute, AI usage, Alerts</t>
  </si>
  <si>
    <t xml:space="preserve">Validated against SQL. Credits expected </t>
  </si>
  <si>
    <t>QA review in progress, Once done, needs to promote to PROD</t>
  </si>
  <si>
    <t>MSC to DOFRI (private listings)</t>
  </si>
  <si>
    <t>POSIT App RBAC model</t>
  </si>
  <si>
    <t>QA and PROD pending</t>
  </si>
  <si>
    <t>Public Ips whitelisted (Hyderabad) in EDLE snowflake accounts</t>
  </si>
  <si>
    <t>Data Quality Framework</t>
  </si>
  <si>
    <t>Iceberg Enablement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</si>
</sst>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8"/>
      <name val="Arial"/>
      <family val="2"/>
    </font>
    <font>
      <i/>
      <sz val="9"/>
      <color rgb="FF595959"/>
      <name val="Arial"/>
      <family val="2"/>
    </font>
    <font>
      <b/>
      <sz val="12"/>
      <color rgb="FF1F4E7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0"/>
      <color rgb="FF006100"/>
      <name val="Arial"/>
      <family val="2"/>
    </font>
    <font>
      <sz val="10"/>
      <name val="Arial"/>
      <family val="2"/>
    </font>
    <font>
      <b/>
      <sz val="10"/>
      <color rgb="FF9C0006"/>
      <name val="Arial"/>
      <family val="2"/>
    </font>
    <font>
      <b/>
      <sz val="10"/>
      <color rgb="FF9C65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/>
    <xf numFmtId="0" fontId="5" fillId="0" borderId="0" xfId="0" applyFont="1"/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Normal="100" workbookViewId="0">
      <pane ySplit="1" topLeftCell="A2" activePane="bottomLeft" state="frozen"/>
      <selection pane="bottomLeft" activeCell="B12" sqref="B12"/>
    </sheetView>
  </sheetViews>
  <sheetFormatPr defaultColWidth="8.6328125" defaultRowHeight="14.5" x14ac:dyDescent="0.35"/>
  <cols>
    <col min="1" max="1" width="12" customWidth="1"/>
    <col min="2" max="2" width="62" customWidth="1"/>
    <col min="3" max="3" width="34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6" t="s">
        <v>20</v>
      </c>
      <c r="D2" s="3" t="s">
        <v>7</v>
      </c>
    </row>
    <row r="3" spans="1:4" x14ac:dyDescent="0.35">
      <c r="A3" s="2" t="s">
        <v>8</v>
      </c>
      <c r="B3" s="2" t="s">
        <v>9</v>
      </c>
      <c r="C3" s="4" t="s">
        <v>10</v>
      </c>
      <c r="D3" s="3" t="s">
        <v>7</v>
      </c>
    </row>
    <row r="4" spans="1:4" x14ac:dyDescent="0.35">
      <c r="A4" s="2" t="s">
        <v>11</v>
      </c>
      <c r="B4" s="2" t="s">
        <v>12</v>
      </c>
      <c r="C4" s="5" t="s">
        <v>13</v>
      </c>
      <c r="D4" s="3" t="s">
        <v>7</v>
      </c>
    </row>
    <row r="5" spans="1:4" x14ac:dyDescent="0.35">
      <c r="A5" s="2" t="s">
        <v>14</v>
      </c>
      <c r="B5" s="2" t="s">
        <v>15</v>
      </c>
      <c r="C5" s="4" t="s">
        <v>16</v>
      </c>
      <c r="D5" s="3" t="s">
        <v>17</v>
      </c>
    </row>
    <row r="6" spans="1:4" x14ac:dyDescent="0.35">
      <c r="A6" s="2" t="s">
        <v>18</v>
      </c>
      <c r="B6" s="2" t="s">
        <v>19</v>
      </c>
      <c r="C6" s="6" t="s">
        <v>20</v>
      </c>
      <c r="D6" s="3" t="s">
        <v>7</v>
      </c>
    </row>
    <row r="7" spans="1:4" x14ac:dyDescent="0.35">
      <c r="A7" s="2" t="s">
        <v>21</v>
      </c>
      <c r="B7" s="2" t="s">
        <v>22</v>
      </c>
      <c r="C7" s="5" t="s">
        <v>13</v>
      </c>
      <c r="D7" s="3" t="s">
        <v>17</v>
      </c>
    </row>
    <row r="8" spans="1:4" ht="25" x14ac:dyDescent="0.35">
      <c r="A8" s="2" t="s">
        <v>23</v>
      </c>
      <c r="B8" s="2" t="s">
        <v>24</v>
      </c>
      <c r="C8" s="6" t="s">
        <v>25</v>
      </c>
      <c r="D8" s="3" t="s">
        <v>17</v>
      </c>
    </row>
    <row r="9" spans="1:4" ht="25" x14ac:dyDescent="0.35">
      <c r="A9" s="2" t="s">
        <v>26</v>
      </c>
      <c r="B9" s="2" t="s">
        <v>27</v>
      </c>
      <c r="C9" s="4" t="s">
        <v>10</v>
      </c>
      <c r="D9" s="3" t="s">
        <v>7</v>
      </c>
    </row>
    <row r="10" spans="1:4" x14ac:dyDescent="0.35">
      <c r="A10" s="2" t="s">
        <v>28</v>
      </c>
      <c r="B10" s="2" t="s">
        <v>29</v>
      </c>
      <c r="C10" s="6" t="s">
        <v>25</v>
      </c>
      <c r="D10" s="3" t="s">
        <v>7</v>
      </c>
    </row>
    <row r="11" spans="1:4" x14ac:dyDescent="0.35">
      <c r="A11" s="2" t="s">
        <v>30</v>
      </c>
      <c r="B11" s="2" t="s">
        <v>31</v>
      </c>
      <c r="C11" s="6" t="s">
        <v>20</v>
      </c>
      <c r="D11" s="3" t="s">
        <v>7</v>
      </c>
    </row>
    <row r="12" spans="1:4" x14ac:dyDescent="0.35">
      <c r="A12" s="2" t="s">
        <v>32</v>
      </c>
      <c r="B12" s="2" t="s">
        <v>33</v>
      </c>
      <c r="C12" s="6" t="s">
        <v>20</v>
      </c>
      <c r="D12" s="3" t="s">
        <v>7</v>
      </c>
    </row>
  </sheetData>
  <autoFilter ref="A1:D1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Normal="100" workbookViewId="0">
      <selection activeCell="C2" sqref="C2"/>
    </sheetView>
  </sheetViews>
  <sheetFormatPr defaultColWidth="8.6328125" defaultRowHeight="14.5" x14ac:dyDescent="0.35"/>
  <cols>
    <col min="1" max="1" width="34" customWidth="1"/>
    <col min="2" max="4" width="10" customWidth="1"/>
  </cols>
  <sheetData>
    <row r="1" spans="1:4" x14ac:dyDescent="0.35">
      <c r="A1" s="7" t="s">
        <v>2</v>
      </c>
      <c r="B1" s="7" t="s">
        <v>34</v>
      </c>
      <c r="C1" s="7" t="s">
        <v>7</v>
      </c>
      <c r="D1" s="7" t="s">
        <v>17</v>
      </c>
    </row>
    <row r="2" spans="1:4" x14ac:dyDescent="0.35">
      <c r="A2" s="8" t="s">
        <v>25</v>
      </c>
      <c r="B2" s="8">
        <f>COUNTIF('Ticket Categorization'!C2:C12,"*"&amp;A2&amp;"*")</f>
        <v>6</v>
      </c>
      <c r="C2" s="8">
        <f>COUNTIFS('Ticket Categorization'!C2:C12,"*"&amp;A2&amp;"*",'Ticket Categorization'!D2:D12,"Open")</f>
        <v>5</v>
      </c>
      <c r="D2" s="8">
        <f>COUNTIFS('Ticket Categorization'!C2:C12,"*"&amp;A2&amp;"*",'Ticket Categorization'!D2:D12,"Closed")</f>
        <v>1</v>
      </c>
    </row>
    <row r="3" spans="1:4" x14ac:dyDescent="0.35">
      <c r="A3" s="8" t="s">
        <v>10</v>
      </c>
      <c r="B3" s="8">
        <f>COUNTIF('Ticket Categorization'!C2:C12,"*"&amp;A3&amp;"*")</f>
        <v>2</v>
      </c>
      <c r="C3" s="8">
        <f>COUNTIFS('Ticket Categorization'!C2:C12,"*"&amp;A3&amp;"*",'Ticket Categorization'!D2:D12,"Open")</f>
        <v>2</v>
      </c>
      <c r="D3" s="8">
        <f>COUNTIFS('Ticket Categorization'!C2:C12,"*"&amp;A3&amp;"*",'Ticket Categorization'!D2:D12,"Closed")</f>
        <v>0</v>
      </c>
    </row>
    <row r="4" spans="1:4" x14ac:dyDescent="0.35">
      <c r="A4" s="8" t="s">
        <v>13</v>
      </c>
      <c r="B4" s="8">
        <f>COUNTIF('Ticket Categorization'!C2:C12,"*"&amp;A4&amp;"*")</f>
        <v>2</v>
      </c>
      <c r="C4" s="8">
        <f>COUNTIFS('Ticket Categorization'!C2:C12,"*"&amp;A4&amp;"*",'Ticket Categorization'!D2:D12,"Open")</f>
        <v>1</v>
      </c>
      <c r="D4" s="8">
        <f>COUNTIFS('Ticket Categorization'!C2:C12,"*"&amp;A4&amp;"*",'Ticket Categorization'!D2:D12,"Closed")</f>
        <v>1</v>
      </c>
    </row>
    <row r="5" spans="1:4" x14ac:dyDescent="0.35">
      <c r="A5" s="8" t="s">
        <v>6</v>
      </c>
      <c r="B5" s="8">
        <f>COUNTIF('Ticket Categorization'!C2:C12,"*"&amp;A5&amp;"*")</f>
        <v>0</v>
      </c>
      <c r="C5" s="8">
        <f>COUNTIFS('Ticket Categorization'!C2:C12,"*"&amp;A5&amp;"*",'Ticket Categorization'!D2:D12,"Open")</f>
        <v>0</v>
      </c>
      <c r="D5" s="8">
        <f>COUNTIFS('Ticket Categorization'!C2:C12,"*"&amp;A5&amp;"*",'Ticket Categorization'!D2:D12,"Closed")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55DF-76DB-48D0-B8E0-9D71B10710FA}">
  <dimension ref="A1:C28"/>
  <sheetViews>
    <sheetView tabSelected="1" topLeftCell="A3" workbookViewId="0">
      <selection activeCell="A10" sqref="A10"/>
    </sheetView>
  </sheetViews>
  <sheetFormatPr defaultRowHeight="14.5" x14ac:dyDescent="0.35"/>
  <cols>
    <col min="1" max="1" width="26" customWidth="1"/>
    <col min="2" max="2" width="14" customWidth="1"/>
    <col min="3" max="3" width="62" customWidth="1"/>
  </cols>
  <sheetData>
    <row r="1" spans="1:3" ht="18" x14ac:dyDescent="0.4">
      <c r="A1" s="9" t="s">
        <v>50</v>
      </c>
    </row>
    <row r="2" spans="1:3" x14ac:dyDescent="0.35">
      <c r="A2" s="10" t="s">
        <v>51</v>
      </c>
      <c r="B2" s="11"/>
      <c r="C2" s="11"/>
    </row>
    <row r="4" spans="1:3" ht="15.5" x14ac:dyDescent="0.35">
      <c r="A4" s="12" t="s">
        <v>52</v>
      </c>
    </row>
    <row r="5" spans="1:3" x14ac:dyDescent="0.35">
      <c r="A5" s="13" t="s">
        <v>35</v>
      </c>
      <c r="B5" s="13" t="s">
        <v>3</v>
      </c>
      <c r="C5" s="13" t="s">
        <v>36</v>
      </c>
    </row>
    <row r="6" spans="1:3" x14ac:dyDescent="0.35">
      <c r="A6" s="14" t="s">
        <v>37</v>
      </c>
      <c r="B6" s="15" t="s">
        <v>53</v>
      </c>
      <c r="C6" s="16" t="s">
        <v>56</v>
      </c>
    </row>
    <row r="7" spans="1:3" x14ac:dyDescent="0.35">
      <c r="A7" s="14" t="s">
        <v>38</v>
      </c>
      <c r="B7" s="15" t="s">
        <v>53</v>
      </c>
      <c r="C7" s="16" t="s">
        <v>39</v>
      </c>
    </row>
    <row r="8" spans="1:3" x14ac:dyDescent="0.35">
      <c r="A8" s="14" t="s">
        <v>40</v>
      </c>
      <c r="B8" s="15" t="s">
        <v>53</v>
      </c>
      <c r="C8" s="16" t="s">
        <v>54</v>
      </c>
    </row>
    <row r="9" spans="1:3" x14ac:dyDescent="0.35">
      <c r="A9" s="14" t="s">
        <v>41</v>
      </c>
      <c r="B9" s="15" t="s">
        <v>53</v>
      </c>
      <c r="C9" s="16" t="s">
        <v>42</v>
      </c>
    </row>
    <row r="10" spans="1:3" x14ac:dyDescent="0.35">
      <c r="A10" s="14" t="s">
        <v>43</v>
      </c>
      <c r="B10" s="17" t="s">
        <v>44</v>
      </c>
      <c r="C10" s="16" t="s">
        <v>45</v>
      </c>
    </row>
    <row r="11" spans="1:3" x14ac:dyDescent="0.35">
      <c r="A11" s="14" t="s">
        <v>46</v>
      </c>
      <c r="B11" s="18" t="s">
        <v>47</v>
      </c>
      <c r="C11" s="16" t="s">
        <v>48</v>
      </c>
    </row>
    <row r="13" spans="1:3" ht="15.5" x14ac:dyDescent="0.35">
      <c r="A13" s="12" t="s">
        <v>55</v>
      </c>
    </row>
    <row r="14" spans="1:3" x14ac:dyDescent="0.35">
      <c r="A14" s="13" t="s">
        <v>35</v>
      </c>
      <c r="B14" s="13" t="s">
        <v>3</v>
      </c>
      <c r="C14" s="13" t="s">
        <v>36</v>
      </c>
    </row>
    <row r="15" spans="1:3" ht="26" x14ac:dyDescent="0.35">
      <c r="A15" s="14" t="s">
        <v>49</v>
      </c>
      <c r="B15" s="15" t="s">
        <v>53</v>
      </c>
      <c r="C15" s="16" t="s">
        <v>57</v>
      </c>
    </row>
    <row r="18" spans="1:1" ht="18" x14ac:dyDescent="0.4">
      <c r="A18" s="9" t="s">
        <v>59</v>
      </c>
    </row>
    <row r="19" spans="1:1" x14ac:dyDescent="0.35">
      <c r="A19" t="s">
        <v>58</v>
      </c>
    </row>
    <row r="21" spans="1:1" ht="18" x14ac:dyDescent="0.4">
      <c r="A21" s="9" t="s">
        <v>60</v>
      </c>
    </row>
    <row r="22" spans="1:1" x14ac:dyDescent="0.35">
      <c r="A22" t="s">
        <v>61</v>
      </c>
    </row>
    <row r="24" spans="1:1" ht="18" x14ac:dyDescent="0.4">
      <c r="A24" s="9" t="s">
        <v>62</v>
      </c>
    </row>
    <row r="26" spans="1:1" ht="18" x14ac:dyDescent="0.4">
      <c r="A26" s="9" t="s">
        <v>63</v>
      </c>
    </row>
    <row r="28" spans="1:1" ht="18" x14ac:dyDescent="0.4">
      <c r="A28" s="9" t="s">
        <v>64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 Categorization</vt:lpstr>
      <vt:lpstr>Summary</vt:lpstr>
      <vt:lpstr>Other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Chokkaku, Venkata Appala Naidu</cp:lastModifiedBy>
  <cp:revision>0</cp:revision>
  <dcterms:created xsi:type="dcterms:W3CDTF">2026-07-06T04:56:55Z</dcterms:created>
  <dcterms:modified xsi:type="dcterms:W3CDTF">2026-07-08T06:20:33Z</dcterms:modified>
  <dc:language>en-US</dc:language>
</cp:coreProperties>
</file>